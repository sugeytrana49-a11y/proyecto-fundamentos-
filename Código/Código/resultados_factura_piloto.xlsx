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niversidad\IV Semestre\Estadistica\Practica 2\Código\"/>
    </mc:Choice>
  </mc:AlternateContent>
  <xr:revisionPtr revIDLastSave="0" documentId="13_ncr:1_{A7E8D9C1-AEBD-4705-9781-938833AB1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" sheetId="1" r:id="rId1"/>
    <sheet name="Descartes" sheetId="2" r:id="rId2"/>
    <sheet name="Diseño" sheetId="3" r:id="rId3"/>
  </sheets>
  <definedNames>
    <definedName name="_xlchart.v1.0" hidden="1">Resultados!$L$3:$L$27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30" i="1"/>
  <c r="L29" i="1"/>
</calcChain>
</file>

<file path=xl/sharedStrings.xml><?xml version="1.0" encoding="utf-8"?>
<sst xmlns="http://schemas.openxmlformats.org/spreadsheetml/2006/main" count="303" uniqueCount="127">
  <si>
    <t>Identificación</t>
  </si>
  <si>
    <t>Factor asignado</t>
  </si>
  <si>
    <t>Variable observada</t>
  </si>
  <si>
    <t>Respuesta medida</t>
  </si>
  <si>
    <t>Control del procedimiento</t>
  </si>
  <si>
    <t>ID prueba</t>
  </si>
  <si>
    <t>ID factura</t>
  </si>
  <si>
    <t>Bloque</t>
  </si>
  <si>
    <t>Número de líneas</t>
  </si>
  <si>
    <t>Tamaño de letra (px)</t>
  </si>
  <si>
    <t>Nivel de contraste</t>
  </si>
  <si>
    <t>Razón de contraste</t>
  </si>
  <si>
    <t>Distancia asignada (m)</t>
  </si>
  <si>
    <t>Código objetivo</t>
  </si>
  <si>
    <t>Fila del objetivo</t>
  </si>
  <si>
    <t>Distancia al centro (filas)</t>
  </si>
  <si>
    <t>Tiempo (s)</t>
  </si>
  <si>
    <t>Tiempo de confirmación (s)</t>
  </si>
  <si>
    <t>Errores (n)</t>
  </si>
  <si>
    <t>Método de respuesta</t>
  </si>
  <si>
    <t>Distancia real (m)</t>
  </si>
  <si>
    <t>Pantalla (px)</t>
  </si>
  <si>
    <t>Fecha y hora</t>
  </si>
  <si>
    <t>FAC-2026/001</t>
  </si>
  <si>
    <t>bajo</t>
  </si>
  <si>
    <t>REF-6135</t>
  </si>
  <si>
    <t>teclado</t>
  </si>
  <si>
    <t>1920x1080</t>
  </si>
  <si>
    <t>2026-10-23 15:00:43</t>
  </si>
  <si>
    <t>FAC-2026/002</t>
  </si>
  <si>
    <t>medio</t>
  </si>
  <si>
    <t>REF-2988</t>
  </si>
  <si>
    <t>2026-10-23 15:01:26</t>
  </si>
  <si>
    <t>FAC-2026/003</t>
  </si>
  <si>
    <t>REF-3627</t>
  </si>
  <si>
    <t>2026-10-23 15:02:49</t>
  </si>
  <si>
    <t>FAC-2026/004</t>
  </si>
  <si>
    <t>REF-8440</t>
  </si>
  <si>
    <t>2026-10-23 15:03:32</t>
  </si>
  <si>
    <t>FAC-2026/005</t>
  </si>
  <si>
    <t>alto</t>
  </si>
  <si>
    <t>REF-3806</t>
  </si>
  <si>
    <t>2026-10-23 15:04:18</t>
  </si>
  <si>
    <t>FAC-2026/006</t>
  </si>
  <si>
    <t>REF-1622</t>
  </si>
  <si>
    <t>2026-10-23 15:04:56</t>
  </si>
  <si>
    <t>FAC-2026/007</t>
  </si>
  <si>
    <t>REF-5865</t>
  </si>
  <si>
    <t>2026-10-23 15:05:52</t>
  </si>
  <si>
    <t>FAC-2026/008</t>
  </si>
  <si>
    <t>REF-5535</t>
  </si>
  <si>
    <t>2026-10-23 15:07:31</t>
  </si>
  <si>
    <t>FAC-2026/009</t>
  </si>
  <si>
    <t>REF-7690</t>
  </si>
  <si>
    <t>2026-10-23 15:08:16</t>
  </si>
  <si>
    <t>FAC-2026/010</t>
  </si>
  <si>
    <t>REF-1465</t>
  </si>
  <si>
    <t>2026-10-23 15:09:00</t>
  </si>
  <si>
    <t>FAC-2026/011</t>
  </si>
  <si>
    <t>REF-9080</t>
  </si>
  <si>
    <t>2026-10-23 15:09:42</t>
  </si>
  <si>
    <t>FAC-2026/013</t>
  </si>
  <si>
    <t>REF-2380</t>
  </si>
  <si>
    <t>2026-10-23 15:10:56</t>
  </si>
  <si>
    <t>FAC-2026/014</t>
  </si>
  <si>
    <t>REF-4576</t>
  </si>
  <si>
    <t>2026-10-23 15:13:39</t>
  </si>
  <si>
    <t>FAC-2026/015</t>
  </si>
  <si>
    <t>REF-3856</t>
  </si>
  <si>
    <t>2026-10-23 15:14:24</t>
  </si>
  <si>
    <t>FAC-2026/016</t>
  </si>
  <si>
    <t>REF-6959</t>
  </si>
  <si>
    <t>2026-10-23 15:15:04</t>
  </si>
  <si>
    <t>FAC-2026/017</t>
  </si>
  <si>
    <t>REF-5593</t>
  </si>
  <si>
    <t>2026-10-23 15:16:36</t>
  </si>
  <si>
    <t>FAC-2026/018</t>
  </si>
  <si>
    <t>REF-9245</t>
  </si>
  <si>
    <t>2026-10-23 15:17:16</t>
  </si>
  <si>
    <t>FAC-2026/019</t>
  </si>
  <si>
    <t>REF-9947</t>
  </si>
  <si>
    <t>2026-10-23 15:18:10</t>
  </si>
  <si>
    <t>FAC-2026/021</t>
  </si>
  <si>
    <t>REF-3745</t>
  </si>
  <si>
    <t>2026-10-23 15:20:32</t>
  </si>
  <si>
    <t>FAC-2026/022</t>
  </si>
  <si>
    <t>REF-9393</t>
  </si>
  <si>
    <t>2026-10-23 15:21:15</t>
  </si>
  <si>
    <t>FAC-2026/023</t>
  </si>
  <si>
    <t>REF-3755</t>
  </si>
  <si>
    <t>2026-10-23 15:22:06</t>
  </si>
  <si>
    <t>FAC-2026/024</t>
  </si>
  <si>
    <t>REF-4527</t>
  </si>
  <si>
    <t>2026-10-23 15:22:52</t>
  </si>
  <si>
    <t>FAC-2026/025</t>
  </si>
  <si>
    <t>REF-2728</t>
  </si>
  <si>
    <t>2026-10-23 15:23:48</t>
  </si>
  <si>
    <t>FAC-2026/026</t>
  </si>
  <si>
    <t>REF-6759</t>
  </si>
  <si>
    <t>2026-10-23 15:24:32</t>
  </si>
  <si>
    <t>FAC-2026/027</t>
  </si>
  <si>
    <t>REF-8538</t>
  </si>
  <si>
    <t>2026-10-23 15:25:19</t>
  </si>
  <si>
    <t>FAC-2026/012</t>
  </si>
  <si>
    <t>2026-10-23 15:10:37</t>
  </si>
  <si>
    <t>FAC-2026/020</t>
  </si>
  <si>
    <t>2026-10-23 15:20:00</t>
  </si>
  <si>
    <t>Orden</t>
  </si>
  <si>
    <t>Repuesto (1 = sí)</t>
  </si>
  <si>
    <t>REF-6518</t>
  </si>
  <si>
    <t>REF-8803</t>
  </si>
  <si>
    <t>FAC-2026/028</t>
  </si>
  <si>
    <t>REF-2689</t>
  </si>
  <si>
    <t>FAC-2026/029</t>
  </si>
  <si>
    <t>REF-8428</t>
  </si>
  <si>
    <t>FAC-2026/030</t>
  </si>
  <si>
    <t>REF-2223</t>
  </si>
  <si>
    <t>FAC-2026/031</t>
  </si>
  <si>
    <t>REF-6949</t>
  </si>
  <si>
    <t>FAC-2026/032</t>
  </si>
  <si>
    <t>REF-4405</t>
  </si>
  <si>
    <t>FAC-2026/033</t>
  </si>
  <si>
    <t>REF-4980</t>
  </si>
  <si>
    <t>FAC-2026/034</t>
  </si>
  <si>
    <t>REF-1757</t>
  </si>
  <si>
    <t>FAC-2026/035</t>
  </si>
  <si>
    <t>REF-7403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</si>
</sst>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4DFEC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4F7E7A56-9450-473A-A261-3F31A4A92205}"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779780</xdr:colOff>
      <xdr:row>41</xdr:row>
      <xdr:rowOff>162559</xdr:rowOff>
    </xdr:from>
    <xdr:to>
      <xdr:col>13</xdr:col>
      <xdr:colOff>59267</xdr:colOff>
      <xdr:row>56</xdr:row>
      <xdr:rowOff>162559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75346E3-A4E5-7F62-FF10-5504DC67C7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31247" y="8019626"/>
              <a:ext cx="4579620" cy="279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F1" zoomScale="81" workbookViewId="0">
      <pane ySplit="2" topLeftCell="A3" activePane="bottomLeft" state="frozen"/>
      <selection pane="bottomLeft" activeCell="M34" sqref="M34"/>
    </sheetView>
  </sheetViews>
  <sheetFormatPr baseColWidth="10" defaultColWidth="8.88671875" defaultRowHeight="14.4" x14ac:dyDescent="0.3"/>
  <cols>
    <col min="1" max="3" width="16" customWidth="1"/>
    <col min="4" max="4" width="20" customWidth="1"/>
    <col min="5" max="5" width="24" customWidth="1"/>
    <col min="6" max="7" width="22" customWidth="1"/>
    <col min="8" max="8" width="26" customWidth="1"/>
    <col min="9" max="9" width="19" customWidth="1"/>
    <col min="10" max="10" width="21" customWidth="1"/>
    <col min="11" max="11" width="31" customWidth="1"/>
    <col min="12" max="12" width="16" customWidth="1"/>
    <col min="13" max="13" width="30" customWidth="1"/>
    <col min="14" max="14" width="16" customWidth="1"/>
    <col min="15" max="15" width="23" customWidth="1"/>
    <col min="16" max="16" width="22" customWidth="1"/>
    <col min="17" max="17" width="17" customWidth="1"/>
    <col min="18" max="18" width="22" customWidth="1"/>
  </cols>
  <sheetData>
    <row r="1" spans="1:18" x14ac:dyDescent="0.3">
      <c r="A1" s="9" t="s">
        <v>0</v>
      </c>
      <c r="B1" s="7"/>
      <c r="C1" s="8"/>
      <c r="D1" s="10" t="s">
        <v>1</v>
      </c>
      <c r="E1" s="7"/>
      <c r="F1" s="7"/>
      <c r="G1" s="7"/>
      <c r="H1" s="8"/>
      <c r="I1" s="11" t="s">
        <v>2</v>
      </c>
      <c r="J1" s="7"/>
      <c r="K1" s="8"/>
      <c r="L1" s="6" t="s">
        <v>3</v>
      </c>
      <c r="M1" s="7"/>
      <c r="N1" s="8"/>
      <c r="O1" s="12" t="s">
        <v>4</v>
      </c>
      <c r="P1" s="7"/>
      <c r="Q1" s="7"/>
      <c r="R1" s="8"/>
    </row>
    <row r="2" spans="1:18" ht="31.95" customHeight="1" x14ac:dyDescent="0.3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3" t="s">
        <v>13</v>
      </c>
      <c r="J2" s="3" t="s">
        <v>14</v>
      </c>
      <c r="K2" s="3" t="s">
        <v>15</v>
      </c>
      <c r="L2" s="4" t="s">
        <v>16</v>
      </c>
      <c r="M2" s="4" t="s">
        <v>17</v>
      </c>
      <c r="N2" s="4" t="s">
        <v>18</v>
      </c>
      <c r="O2" s="5" t="s">
        <v>19</v>
      </c>
      <c r="P2" s="5" t="s">
        <v>20</v>
      </c>
      <c r="Q2" s="5" t="s">
        <v>21</v>
      </c>
      <c r="R2" s="5" t="s">
        <v>22</v>
      </c>
    </row>
    <row r="3" spans="1:18" x14ac:dyDescent="0.3">
      <c r="A3">
        <v>1</v>
      </c>
      <c r="B3" t="s">
        <v>23</v>
      </c>
      <c r="C3">
        <v>1</v>
      </c>
      <c r="D3">
        <v>10</v>
      </c>
      <c r="E3">
        <v>11</v>
      </c>
      <c r="F3" t="s">
        <v>24</v>
      </c>
      <c r="G3">
        <v>3.21</v>
      </c>
      <c r="H3">
        <v>0.3</v>
      </c>
      <c r="I3" t="s">
        <v>25</v>
      </c>
      <c r="J3">
        <v>2</v>
      </c>
      <c r="K3">
        <v>3.5</v>
      </c>
      <c r="L3">
        <v>2.3919999999999999</v>
      </c>
      <c r="M3">
        <v>2.3919999999999999</v>
      </c>
      <c r="N3">
        <v>0</v>
      </c>
      <c r="O3" t="s">
        <v>26</v>
      </c>
      <c r="P3">
        <v>0.3</v>
      </c>
      <c r="Q3" t="s">
        <v>27</v>
      </c>
      <c r="R3" t="s">
        <v>28</v>
      </c>
    </row>
    <row r="4" spans="1:18" x14ac:dyDescent="0.3">
      <c r="A4">
        <v>2</v>
      </c>
      <c r="B4" t="s">
        <v>29</v>
      </c>
      <c r="C4">
        <v>1</v>
      </c>
      <c r="D4">
        <v>8</v>
      </c>
      <c r="E4">
        <v>10</v>
      </c>
      <c r="F4" t="s">
        <v>30</v>
      </c>
      <c r="G4">
        <v>7.92</v>
      </c>
      <c r="H4">
        <v>0.3</v>
      </c>
      <c r="I4" t="s">
        <v>31</v>
      </c>
      <c r="J4">
        <v>8</v>
      </c>
      <c r="K4">
        <v>3.5</v>
      </c>
      <c r="L4">
        <v>4.8550000000000004</v>
      </c>
      <c r="M4">
        <v>4.8550000000000004</v>
      </c>
      <c r="N4">
        <v>0</v>
      </c>
      <c r="O4" t="s">
        <v>26</v>
      </c>
      <c r="P4">
        <v>0.3</v>
      </c>
      <c r="Q4" t="s">
        <v>27</v>
      </c>
      <c r="R4" t="s">
        <v>32</v>
      </c>
    </row>
    <row r="5" spans="1:18" x14ac:dyDescent="0.3">
      <c r="A5">
        <v>3</v>
      </c>
      <c r="B5" t="s">
        <v>33</v>
      </c>
      <c r="C5">
        <v>1</v>
      </c>
      <c r="D5">
        <v>13</v>
      </c>
      <c r="E5">
        <v>12</v>
      </c>
      <c r="F5" t="s">
        <v>30</v>
      </c>
      <c r="G5">
        <v>7.92</v>
      </c>
      <c r="H5">
        <v>1.5</v>
      </c>
      <c r="I5" t="s">
        <v>34</v>
      </c>
      <c r="J5">
        <v>9</v>
      </c>
      <c r="K5">
        <v>2</v>
      </c>
      <c r="L5">
        <v>41.871000000000002</v>
      </c>
      <c r="M5">
        <v>41.871000000000002</v>
      </c>
      <c r="N5">
        <v>2</v>
      </c>
      <c r="O5" t="s">
        <v>26</v>
      </c>
      <c r="P5">
        <v>1.5</v>
      </c>
      <c r="Q5" t="s">
        <v>27</v>
      </c>
      <c r="R5" t="s">
        <v>35</v>
      </c>
    </row>
    <row r="6" spans="1:18" x14ac:dyDescent="0.3">
      <c r="A6">
        <v>4</v>
      </c>
      <c r="B6" t="s">
        <v>36</v>
      </c>
      <c r="C6">
        <v>1</v>
      </c>
      <c r="D6">
        <v>5</v>
      </c>
      <c r="E6">
        <v>15</v>
      </c>
      <c r="F6" t="s">
        <v>30</v>
      </c>
      <c r="G6">
        <v>7.92</v>
      </c>
      <c r="H6">
        <v>0.3</v>
      </c>
      <c r="I6" t="s">
        <v>37</v>
      </c>
      <c r="J6">
        <v>2</v>
      </c>
      <c r="K6">
        <v>1</v>
      </c>
      <c r="L6">
        <v>1.847</v>
      </c>
      <c r="M6">
        <v>1.847</v>
      </c>
      <c r="N6">
        <v>0</v>
      </c>
      <c r="O6" t="s">
        <v>26</v>
      </c>
      <c r="P6">
        <v>0.3</v>
      </c>
      <c r="Q6" t="s">
        <v>27</v>
      </c>
      <c r="R6" t="s">
        <v>38</v>
      </c>
    </row>
    <row r="7" spans="1:18" x14ac:dyDescent="0.3">
      <c r="A7">
        <v>5</v>
      </c>
      <c r="B7" t="s">
        <v>39</v>
      </c>
      <c r="C7">
        <v>1</v>
      </c>
      <c r="D7">
        <v>12</v>
      </c>
      <c r="E7">
        <v>11</v>
      </c>
      <c r="F7" t="s">
        <v>40</v>
      </c>
      <c r="G7">
        <v>21</v>
      </c>
      <c r="H7">
        <v>1.5</v>
      </c>
      <c r="I7" t="s">
        <v>41</v>
      </c>
      <c r="J7">
        <v>6</v>
      </c>
      <c r="K7">
        <v>0.5</v>
      </c>
      <c r="L7">
        <v>9.843</v>
      </c>
      <c r="M7">
        <v>9.843</v>
      </c>
      <c r="N7">
        <v>0</v>
      </c>
      <c r="O7" t="s">
        <v>26</v>
      </c>
      <c r="P7">
        <v>1.5</v>
      </c>
      <c r="Q7" t="s">
        <v>27</v>
      </c>
      <c r="R7" t="s">
        <v>42</v>
      </c>
    </row>
    <row r="8" spans="1:18" x14ac:dyDescent="0.3">
      <c r="A8">
        <v>6</v>
      </c>
      <c r="B8" t="s">
        <v>43</v>
      </c>
      <c r="C8">
        <v>1</v>
      </c>
      <c r="D8">
        <v>4</v>
      </c>
      <c r="E8">
        <v>17</v>
      </c>
      <c r="F8" t="s">
        <v>24</v>
      </c>
      <c r="G8">
        <v>3.21</v>
      </c>
      <c r="H8">
        <v>0.3</v>
      </c>
      <c r="I8" t="s">
        <v>44</v>
      </c>
      <c r="J8">
        <v>2</v>
      </c>
      <c r="K8">
        <v>0.5</v>
      </c>
      <c r="L8">
        <v>2.6160000000000001</v>
      </c>
      <c r="M8">
        <v>2.6160000000000001</v>
      </c>
      <c r="N8">
        <v>0</v>
      </c>
      <c r="O8" t="s">
        <v>26</v>
      </c>
      <c r="P8">
        <v>0.3</v>
      </c>
      <c r="Q8" t="s">
        <v>27</v>
      </c>
      <c r="R8" t="s">
        <v>45</v>
      </c>
    </row>
    <row r="9" spans="1:18" x14ac:dyDescent="0.3">
      <c r="A9">
        <v>7</v>
      </c>
      <c r="B9" t="s">
        <v>46</v>
      </c>
      <c r="C9">
        <v>1</v>
      </c>
      <c r="D9">
        <v>7</v>
      </c>
      <c r="E9">
        <v>10</v>
      </c>
      <c r="F9" t="s">
        <v>24</v>
      </c>
      <c r="G9">
        <v>3.21</v>
      </c>
      <c r="H9">
        <v>1</v>
      </c>
      <c r="I9" t="s">
        <v>47</v>
      </c>
      <c r="J9">
        <v>7</v>
      </c>
      <c r="K9">
        <v>3</v>
      </c>
      <c r="L9">
        <v>8.1379999999999999</v>
      </c>
      <c r="M9">
        <v>8.1379999999999999</v>
      </c>
      <c r="N9">
        <v>0</v>
      </c>
      <c r="O9" t="s">
        <v>26</v>
      </c>
      <c r="P9">
        <v>1</v>
      </c>
      <c r="Q9" t="s">
        <v>27</v>
      </c>
      <c r="R9" t="s">
        <v>48</v>
      </c>
    </row>
    <row r="10" spans="1:18" x14ac:dyDescent="0.3">
      <c r="A10">
        <v>8</v>
      </c>
      <c r="B10" t="s">
        <v>49</v>
      </c>
      <c r="C10">
        <v>1</v>
      </c>
      <c r="D10">
        <v>16</v>
      </c>
      <c r="E10">
        <v>14</v>
      </c>
      <c r="F10" t="s">
        <v>40</v>
      </c>
      <c r="G10">
        <v>21</v>
      </c>
      <c r="H10">
        <v>1.5</v>
      </c>
      <c r="I10" t="s">
        <v>50</v>
      </c>
      <c r="J10">
        <v>16</v>
      </c>
      <c r="K10">
        <v>7.5</v>
      </c>
      <c r="L10">
        <v>59.656999999999996</v>
      </c>
      <c r="M10">
        <v>60.006999999999998</v>
      </c>
      <c r="N10">
        <v>4</v>
      </c>
      <c r="O10" t="s">
        <v>26</v>
      </c>
      <c r="P10">
        <v>1.5</v>
      </c>
      <c r="Q10" t="s">
        <v>27</v>
      </c>
      <c r="R10" t="s">
        <v>51</v>
      </c>
    </row>
    <row r="11" spans="1:18" x14ac:dyDescent="0.3">
      <c r="A11">
        <v>9</v>
      </c>
      <c r="B11" t="s">
        <v>52</v>
      </c>
      <c r="C11">
        <v>1</v>
      </c>
      <c r="D11">
        <v>12</v>
      </c>
      <c r="E11">
        <v>15</v>
      </c>
      <c r="F11" t="s">
        <v>40</v>
      </c>
      <c r="G11">
        <v>21</v>
      </c>
      <c r="H11">
        <v>1</v>
      </c>
      <c r="I11" t="s">
        <v>53</v>
      </c>
      <c r="J11">
        <v>11</v>
      </c>
      <c r="K11">
        <v>4.5</v>
      </c>
      <c r="L11">
        <v>4.5170000000000003</v>
      </c>
      <c r="M11">
        <v>4.6890000000000001</v>
      </c>
      <c r="N11">
        <v>0</v>
      </c>
      <c r="O11" t="s">
        <v>26</v>
      </c>
      <c r="P11">
        <v>1</v>
      </c>
      <c r="Q11" t="s">
        <v>27</v>
      </c>
      <c r="R11" t="s">
        <v>54</v>
      </c>
    </row>
    <row r="12" spans="1:18" x14ac:dyDescent="0.3">
      <c r="A12">
        <v>10</v>
      </c>
      <c r="B12" t="s">
        <v>55</v>
      </c>
      <c r="C12">
        <v>1</v>
      </c>
      <c r="D12">
        <v>18</v>
      </c>
      <c r="E12">
        <v>16</v>
      </c>
      <c r="F12" t="s">
        <v>40</v>
      </c>
      <c r="G12">
        <v>21</v>
      </c>
      <c r="H12">
        <v>1</v>
      </c>
      <c r="I12" t="s">
        <v>56</v>
      </c>
      <c r="J12">
        <v>17</v>
      </c>
      <c r="K12">
        <v>7.5</v>
      </c>
      <c r="L12">
        <v>4.8520000000000003</v>
      </c>
      <c r="M12">
        <v>5.4450000000000003</v>
      </c>
      <c r="N12">
        <v>0</v>
      </c>
      <c r="O12" t="s">
        <v>26</v>
      </c>
      <c r="P12">
        <v>1</v>
      </c>
      <c r="Q12" t="s">
        <v>27</v>
      </c>
      <c r="R12" t="s">
        <v>57</v>
      </c>
    </row>
    <row r="13" spans="1:18" x14ac:dyDescent="0.3">
      <c r="A13">
        <v>11</v>
      </c>
      <c r="B13" t="s">
        <v>58</v>
      </c>
      <c r="C13">
        <v>1</v>
      </c>
      <c r="D13">
        <v>14</v>
      </c>
      <c r="E13">
        <v>17</v>
      </c>
      <c r="F13" t="s">
        <v>30</v>
      </c>
      <c r="G13">
        <v>7.92</v>
      </c>
      <c r="H13">
        <v>1</v>
      </c>
      <c r="I13" t="s">
        <v>59</v>
      </c>
      <c r="J13">
        <v>4</v>
      </c>
      <c r="K13">
        <v>3.5</v>
      </c>
      <c r="L13">
        <v>5.931</v>
      </c>
      <c r="M13">
        <v>5.931</v>
      </c>
      <c r="N13">
        <v>0</v>
      </c>
      <c r="O13" t="s">
        <v>26</v>
      </c>
      <c r="P13">
        <v>1</v>
      </c>
      <c r="Q13" t="s">
        <v>27</v>
      </c>
      <c r="R13" t="s">
        <v>60</v>
      </c>
    </row>
    <row r="14" spans="1:18" x14ac:dyDescent="0.3">
      <c r="A14">
        <v>12</v>
      </c>
      <c r="B14" t="s">
        <v>61</v>
      </c>
      <c r="C14">
        <v>1</v>
      </c>
      <c r="D14">
        <v>18</v>
      </c>
      <c r="E14">
        <v>17</v>
      </c>
      <c r="F14" t="s">
        <v>30</v>
      </c>
      <c r="G14">
        <v>7.92</v>
      </c>
      <c r="H14">
        <v>0.3</v>
      </c>
      <c r="I14" t="s">
        <v>62</v>
      </c>
      <c r="J14">
        <v>17</v>
      </c>
      <c r="K14">
        <v>7.5</v>
      </c>
      <c r="L14">
        <v>3.88</v>
      </c>
      <c r="M14">
        <v>4.601</v>
      </c>
      <c r="N14">
        <v>0</v>
      </c>
      <c r="O14" t="s">
        <v>26</v>
      </c>
      <c r="P14">
        <v>0.3</v>
      </c>
      <c r="Q14" t="s">
        <v>27</v>
      </c>
      <c r="R14" t="s">
        <v>63</v>
      </c>
    </row>
    <row r="15" spans="1:18" x14ac:dyDescent="0.3">
      <c r="A15">
        <v>13</v>
      </c>
      <c r="B15" t="s">
        <v>64</v>
      </c>
      <c r="C15">
        <v>2</v>
      </c>
      <c r="D15">
        <v>3</v>
      </c>
      <c r="E15">
        <v>18</v>
      </c>
      <c r="F15" t="s">
        <v>30</v>
      </c>
      <c r="G15">
        <v>7.92</v>
      </c>
      <c r="H15">
        <v>1.5</v>
      </c>
      <c r="I15" t="s">
        <v>65</v>
      </c>
      <c r="J15">
        <v>3</v>
      </c>
      <c r="K15">
        <v>1</v>
      </c>
      <c r="L15">
        <v>3.4740000000000002</v>
      </c>
      <c r="M15">
        <v>3.4740000000000002</v>
      </c>
      <c r="N15">
        <v>0</v>
      </c>
      <c r="O15" t="s">
        <v>26</v>
      </c>
      <c r="P15">
        <v>1.5</v>
      </c>
      <c r="Q15" t="s">
        <v>27</v>
      </c>
      <c r="R15" t="s">
        <v>66</v>
      </c>
    </row>
    <row r="16" spans="1:18" x14ac:dyDescent="0.3">
      <c r="A16">
        <v>14</v>
      </c>
      <c r="B16" t="s">
        <v>67</v>
      </c>
      <c r="C16">
        <v>2</v>
      </c>
      <c r="D16">
        <v>11</v>
      </c>
      <c r="E16">
        <v>16</v>
      </c>
      <c r="F16" t="s">
        <v>40</v>
      </c>
      <c r="G16">
        <v>21</v>
      </c>
      <c r="H16">
        <v>1</v>
      </c>
      <c r="I16" t="s">
        <v>68</v>
      </c>
      <c r="J16">
        <v>9</v>
      </c>
      <c r="K16">
        <v>3</v>
      </c>
      <c r="L16">
        <v>4.8079999999999998</v>
      </c>
      <c r="M16">
        <v>4.8079999999999998</v>
      </c>
      <c r="N16">
        <v>0</v>
      </c>
      <c r="O16" t="s">
        <v>26</v>
      </c>
      <c r="P16">
        <v>1</v>
      </c>
      <c r="Q16" t="s">
        <v>27</v>
      </c>
      <c r="R16" t="s">
        <v>69</v>
      </c>
    </row>
    <row r="17" spans="1:18" x14ac:dyDescent="0.3">
      <c r="A17">
        <v>15</v>
      </c>
      <c r="B17" t="s">
        <v>70</v>
      </c>
      <c r="C17">
        <v>2</v>
      </c>
      <c r="D17">
        <v>2</v>
      </c>
      <c r="E17">
        <v>13</v>
      </c>
      <c r="F17" t="s">
        <v>40</v>
      </c>
      <c r="G17">
        <v>21</v>
      </c>
      <c r="H17">
        <v>1.5</v>
      </c>
      <c r="I17" t="s">
        <v>71</v>
      </c>
      <c r="J17">
        <v>2</v>
      </c>
      <c r="K17">
        <v>0.5</v>
      </c>
      <c r="L17">
        <v>4.1390000000000002</v>
      </c>
      <c r="M17">
        <v>4.1390000000000002</v>
      </c>
      <c r="N17">
        <v>0</v>
      </c>
      <c r="O17" t="s">
        <v>26</v>
      </c>
      <c r="P17">
        <v>1.5</v>
      </c>
      <c r="Q17" t="s">
        <v>27</v>
      </c>
      <c r="R17" t="s">
        <v>72</v>
      </c>
    </row>
    <row r="18" spans="1:18" x14ac:dyDescent="0.3">
      <c r="A18">
        <v>16</v>
      </c>
      <c r="B18" t="s">
        <v>73</v>
      </c>
      <c r="C18">
        <v>2</v>
      </c>
      <c r="D18">
        <v>9</v>
      </c>
      <c r="E18">
        <v>16</v>
      </c>
      <c r="F18" t="s">
        <v>40</v>
      </c>
      <c r="G18">
        <v>21</v>
      </c>
      <c r="H18">
        <v>1</v>
      </c>
      <c r="I18" t="s">
        <v>74</v>
      </c>
      <c r="J18">
        <v>3</v>
      </c>
      <c r="K18">
        <v>2</v>
      </c>
      <c r="L18">
        <v>4.9480000000000004</v>
      </c>
      <c r="M18">
        <v>4.9480000000000004</v>
      </c>
      <c r="N18">
        <v>0</v>
      </c>
      <c r="O18" t="s">
        <v>26</v>
      </c>
      <c r="P18">
        <v>1</v>
      </c>
      <c r="Q18" t="s">
        <v>27</v>
      </c>
      <c r="R18" t="s">
        <v>75</v>
      </c>
    </row>
    <row r="19" spans="1:18" x14ac:dyDescent="0.3">
      <c r="A19">
        <v>17</v>
      </c>
      <c r="B19" t="s">
        <v>76</v>
      </c>
      <c r="C19">
        <v>2</v>
      </c>
      <c r="D19">
        <v>16</v>
      </c>
      <c r="E19">
        <v>18</v>
      </c>
      <c r="F19" t="s">
        <v>30</v>
      </c>
      <c r="G19">
        <v>7.92</v>
      </c>
      <c r="H19">
        <v>1</v>
      </c>
      <c r="I19" t="s">
        <v>77</v>
      </c>
      <c r="J19">
        <v>7</v>
      </c>
      <c r="K19">
        <v>1.5</v>
      </c>
      <c r="L19">
        <v>2.2589999999999999</v>
      </c>
      <c r="M19">
        <v>2.2589999999999999</v>
      </c>
      <c r="N19">
        <v>0</v>
      </c>
      <c r="O19" t="s">
        <v>26</v>
      </c>
      <c r="P19">
        <v>1</v>
      </c>
      <c r="Q19" t="s">
        <v>27</v>
      </c>
      <c r="R19" t="s">
        <v>78</v>
      </c>
    </row>
    <row r="20" spans="1:18" x14ac:dyDescent="0.3">
      <c r="A20">
        <v>18</v>
      </c>
      <c r="B20" t="s">
        <v>79</v>
      </c>
      <c r="C20">
        <v>2</v>
      </c>
      <c r="D20">
        <v>17</v>
      </c>
      <c r="E20">
        <v>13</v>
      </c>
      <c r="F20" t="s">
        <v>24</v>
      </c>
      <c r="G20">
        <v>3.21</v>
      </c>
      <c r="H20">
        <v>0.3</v>
      </c>
      <c r="I20" t="s">
        <v>80</v>
      </c>
      <c r="J20">
        <v>17</v>
      </c>
      <c r="K20">
        <v>8</v>
      </c>
      <c r="L20">
        <v>3.7090000000000001</v>
      </c>
      <c r="M20">
        <v>4.6120000000000001</v>
      </c>
      <c r="N20">
        <v>0</v>
      </c>
      <c r="O20" t="s">
        <v>26</v>
      </c>
      <c r="P20">
        <v>0.3</v>
      </c>
      <c r="Q20" t="s">
        <v>27</v>
      </c>
      <c r="R20" t="s">
        <v>81</v>
      </c>
    </row>
    <row r="21" spans="1:18" x14ac:dyDescent="0.3">
      <c r="A21">
        <v>19</v>
      </c>
      <c r="B21" t="s">
        <v>82</v>
      </c>
      <c r="C21">
        <v>2</v>
      </c>
      <c r="D21">
        <v>20</v>
      </c>
      <c r="E21">
        <v>14</v>
      </c>
      <c r="F21" t="s">
        <v>40</v>
      </c>
      <c r="G21">
        <v>21</v>
      </c>
      <c r="H21">
        <v>1</v>
      </c>
      <c r="I21" t="s">
        <v>83</v>
      </c>
      <c r="J21">
        <v>16</v>
      </c>
      <c r="K21">
        <v>5.5</v>
      </c>
      <c r="L21">
        <v>15.448</v>
      </c>
      <c r="M21">
        <v>16.053999999999998</v>
      </c>
      <c r="N21">
        <v>0</v>
      </c>
      <c r="O21" t="s">
        <v>26</v>
      </c>
      <c r="P21">
        <v>1</v>
      </c>
      <c r="Q21" t="s">
        <v>27</v>
      </c>
      <c r="R21" t="s">
        <v>84</v>
      </c>
    </row>
    <row r="22" spans="1:18" x14ac:dyDescent="0.3">
      <c r="A22">
        <v>20</v>
      </c>
      <c r="B22" t="s">
        <v>85</v>
      </c>
      <c r="C22">
        <v>2</v>
      </c>
      <c r="D22">
        <v>15</v>
      </c>
      <c r="E22">
        <v>15</v>
      </c>
      <c r="F22" t="s">
        <v>40</v>
      </c>
      <c r="G22">
        <v>21</v>
      </c>
      <c r="H22">
        <v>0.3</v>
      </c>
      <c r="I22" t="s">
        <v>86</v>
      </c>
      <c r="J22">
        <v>5</v>
      </c>
      <c r="K22">
        <v>3</v>
      </c>
      <c r="L22">
        <v>2.355</v>
      </c>
      <c r="M22">
        <v>2.355</v>
      </c>
      <c r="N22">
        <v>1</v>
      </c>
      <c r="O22" t="s">
        <v>26</v>
      </c>
      <c r="P22">
        <v>0.3</v>
      </c>
      <c r="Q22" t="s">
        <v>27</v>
      </c>
      <c r="R22" t="s">
        <v>87</v>
      </c>
    </row>
    <row r="23" spans="1:18" x14ac:dyDescent="0.3">
      <c r="A23">
        <v>21</v>
      </c>
      <c r="B23" t="s">
        <v>88</v>
      </c>
      <c r="C23">
        <v>2</v>
      </c>
      <c r="D23">
        <v>19</v>
      </c>
      <c r="E23">
        <v>18</v>
      </c>
      <c r="F23" t="s">
        <v>24</v>
      </c>
      <c r="G23">
        <v>3.21</v>
      </c>
      <c r="H23">
        <v>1</v>
      </c>
      <c r="I23" t="s">
        <v>89</v>
      </c>
      <c r="J23">
        <v>8</v>
      </c>
      <c r="K23">
        <v>2</v>
      </c>
      <c r="L23">
        <v>12.920999999999999</v>
      </c>
      <c r="M23">
        <v>12.920999999999999</v>
      </c>
      <c r="N23">
        <v>0</v>
      </c>
      <c r="O23" t="s">
        <v>26</v>
      </c>
      <c r="P23">
        <v>1</v>
      </c>
      <c r="Q23" t="s">
        <v>27</v>
      </c>
      <c r="R23" t="s">
        <v>90</v>
      </c>
    </row>
    <row r="24" spans="1:18" x14ac:dyDescent="0.3">
      <c r="A24">
        <v>22</v>
      </c>
      <c r="B24" t="s">
        <v>91</v>
      </c>
      <c r="C24">
        <v>2</v>
      </c>
      <c r="D24">
        <v>17</v>
      </c>
      <c r="E24">
        <v>12</v>
      </c>
      <c r="F24" t="s">
        <v>30</v>
      </c>
      <c r="G24">
        <v>7.92</v>
      </c>
      <c r="H24">
        <v>0.3</v>
      </c>
      <c r="I24" t="s">
        <v>92</v>
      </c>
      <c r="J24">
        <v>16</v>
      </c>
      <c r="K24">
        <v>7</v>
      </c>
      <c r="L24">
        <v>5.5650000000000004</v>
      </c>
      <c r="M24">
        <v>6.665</v>
      </c>
      <c r="N24">
        <v>0</v>
      </c>
      <c r="O24" t="s">
        <v>26</v>
      </c>
      <c r="P24">
        <v>0.3</v>
      </c>
      <c r="Q24" t="s">
        <v>27</v>
      </c>
      <c r="R24" t="s">
        <v>93</v>
      </c>
    </row>
    <row r="25" spans="1:18" x14ac:dyDescent="0.3">
      <c r="A25">
        <v>23</v>
      </c>
      <c r="B25" t="s">
        <v>94</v>
      </c>
      <c r="C25">
        <v>2</v>
      </c>
      <c r="D25">
        <v>5</v>
      </c>
      <c r="E25">
        <v>14</v>
      </c>
      <c r="F25" t="s">
        <v>24</v>
      </c>
      <c r="G25">
        <v>3.21</v>
      </c>
      <c r="H25">
        <v>1.5</v>
      </c>
      <c r="I25" t="s">
        <v>95</v>
      </c>
      <c r="J25">
        <v>1</v>
      </c>
      <c r="K25">
        <v>2</v>
      </c>
      <c r="L25">
        <v>3.8740000000000001</v>
      </c>
      <c r="M25">
        <v>3.8740000000000001</v>
      </c>
      <c r="N25">
        <v>0</v>
      </c>
      <c r="O25" t="s">
        <v>26</v>
      </c>
      <c r="P25">
        <v>1.5</v>
      </c>
      <c r="Q25" t="s">
        <v>27</v>
      </c>
      <c r="R25" t="s">
        <v>96</v>
      </c>
    </row>
    <row r="26" spans="1:18" x14ac:dyDescent="0.3">
      <c r="A26">
        <v>24</v>
      </c>
      <c r="B26" t="s">
        <v>97</v>
      </c>
      <c r="C26">
        <v>2</v>
      </c>
      <c r="D26">
        <v>13</v>
      </c>
      <c r="E26">
        <v>13</v>
      </c>
      <c r="F26" t="s">
        <v>24</v>
      </c>
      <c r="G26">
        <v>3.21</v>
      </c>
      <c r="H26">
        <v>0.3</v>
      </c>
      <c r="I26" t="s">
        <v>98</v>
      </c>
      <c r="J26">
        <v>2</v>
      </c>
      <c r="K26">
        <v>5</v>
      </c>
      <c r="L26">
        <v>3.6739999999999999</v>
      </c>
      <c r="M26">
        <v>3.6739999999999999</v>
      </c>
      <c r="N26">
        <v>0</v>
      </c>
      <c r="O26" t="s">
        <v>26</v>
      </c>
      <c r="P26">
        <v>0.3</v>
      </c>
      <c r="Q26" t="s">
        <v>27</v>
      </c>
      <c r="R26" t="s">
        <v>99</v>
      </c>
    </row>
    <row r="27" spans="1:18" x14ac:dyDescent="0.3">
      <c r="A27">
        <v>25</v>
      </c>
      <c r="B27" t="s">
        <v>100</v>
      </c>
      <c r="C27">
        <v>2</v>
      </c>
      <c r="D27">
        <v>14</v>
      </c>
      <c r="E27">
        <v>12</v>
      </c>
      <c r="F27" t="s">
        <v>30</v>
      </c>
      <c r="G27">
        <v>7.92</v>
      </c>
      <c r="H27">
        <v>0.3</v>
      </c>
      <c r="I27" t="s">
        <v>101</v>
      </c>
      <c r="J27">
        <v>1</v>
      </c>
      <c r="K27">
        <v>6.5</v>
      </c>
      <c r="L27">
        <v>4.351</v>
      </c>
      <c r="M27">
        <v>6.2389999999999999</v>
      </c>
      <c r="N27">
        <v>0</v>
      </c>
      <c r="O27" t="s">
        <v>26</v>
      </c>
      <c r="P27">
        <v>0.3</v>
      </c>
      <c r="Q27" t="s">
        <v>27</v>
      </c>
      <c r="R27" t="s">
        <v>102</v>
      </c>
    </row>
    <row r="29" spans="1:18" x14ac:dyDescent="0.3">
      <c r="L29">
        <f>AVERAGE(L3:L27)</f>
        <v>8.8769599999999986</v>
      </c>
    </row>
    <row r="30" spans="1:18" x14ac:dyDescent="0.3">
      <c r="L30">
        <f>MEDIAN(L3:L27)</f>
        <v>4.5170000000000003</v>
      </c>
    </row>
    <row r="31" spans="1:18" x14ac:dyDescent="0.3">
      <c r="L31" t="e">
        <f>MODE(L3:L27)</f>
        <v>#N/A</v>
      </c>
    </row>
  </sheetData>
  <mergeCells count="5">
    <mergeCell ref="L1:N1"/>
    <mergeCell ref="A1:C1"/>
    <mergeCell ref="D1:H1"/>
    <mergeCell ref="I1:K1"/>
    <mergeCell ref="O1:R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3" width="16" customWidth="1"/>
    <col min="4" max="4" width="22" customWidth="1"/>
  </cols>
  <sheetData>
    <row r="1" spans="1:4" ht="28.8" x14ac:dyDescent="0.3">
      <c r="A1" s="9" t="s">
        <v>0</v>
      </c>
      <c r="B1" s="8"/>
      <c r="C1" s="4" t="s">
        <v>3</v>
      </c>
      <c r="D1" s="5" t="s">
        <v>4</v>
      </c>
    </row>
    <row r="2" spans="1:4" ht="31.95" customHeight="1" x14ac:dyDescent="0.3">
      <c r="A2" s="1" t="s">
        <v>5</v>
      </c>
      <c r="B2" s="1" t="s">
        <v>6</v>
      </c>
      <c r="C2" s="4" t="s">
        <v>18</v>
      </c>
      <c r="D2" s="5" t="s">
        <v>22</v>
      </c>
    </row>
    <row r="3" spans="1:4" x14ac:dyDescent="0.3">
      <c r="A3">
        <v>12</v>
      </c>
      <c r="B3" t="s">
        <v>103</v>
      </c>
      <c r="C3">
        <v>0</v>
      </c>
      <c r="D3" t="s">
        <v>104</v>
      </c>
    </row>
    <row r="4" spans="1:4" x14ac:dyDescent="0.3">
      <c r="A4">
        <v>19</v>
      </c>
      <c r="B4" t="s">
        <v>105</v>
      </c>
      <c r="C4">
        <v>2</v>
      </c>
      <c r="D4" t="s">
        <v>106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2" width="16" customWidth="1"/>
    <col min="3" max="3" width="21" customWidth="1"/>
    <col min="4" max="4" width="20" customWidth="1"/>
    <col min="5" max="5" width="24" customWidth="1"/>
    <col min="6" max="7" width="22" customWidth="1"/>
    <col min="8" max="8" width="26" customWidth="1"/>
    <col min="9" max="9" width="19" customWidth="1"/>
    <col min="10" max="10" width="21" customWidth="1"/>
    <col min="11" max="11" width="31" customWidth="1"/>
  </cols>
  <sheetData>
    <row r="1" spans="1:11" x14ac:dyDescent="0.3">
      <c r="A1" s="9" t="s">
        <v>0</v>
      </c>
      <c r="B1" s="7"/>
      <c r="C1" s="8"/>
      <c r="D1" s="10" t="s">
        <v>1</v>
      </c>
      <c r="E1" s="7"/>
      <c r="F1" s="7"/>
      <c r="G1" s="7"/>
      <c r="H1" s="8"/>
      <c r="I1" s="11" t="s">
        <v>2</v>
      </c>
      <c r="J1" s="7"/>
      <c r="K1" s="8"/>
    </row>
    <row r="2" spans="1:11" ht="31.95" customHeight="1" x14ac:dyDescent="0.3">
      <c r="A2" s="1" t="s">
        <v>107</v>
      </c>
      <c r="B2" s="1" t="s">
        <v>6</v>
      </c>
      <c r="C2" s="1" t="s">
        <v>108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3" t="s">
        <v>13</v>
      </c>
      <c r="J2" s="3" t="s">
        <v>14</v>
      </c>
      <c r="K2" s="3" t="s">
        <v>15</v>
      </c>
    </row>
    <row r="3" spans="1:11" x14ac:dyDescent="0.3">
      <c r="A3">
        <v>1</v>
      </c>
      <c r="B3" t="s">
        <v>23</v>
      </c>
      <c r="C3">
        <v>0</v>
      </c>
      <c r="D3">
        <v>10</v>
      </c>
      <c r="E3">
        <v>11</v>
      </c>
      <c r="F3" t="s">
        <v>24</v>
      </c>
      <c r="G3">
        <v>3.21</v>
      </c>
      <c r="H3">
        <v>0.3</v>
      </c>
      <c r="I3" t="s">
        <v>25</v>
      </c>
      <c r="J3">
        <v>2</v>
      </c>
      <c r="K3">
        <v>3.5</v>
      </c>
    </row>
    <row r="4" spans="1:11" x14ac:dyDescent="0.3">
      <c r="A4">
        <v>2</v>
      </c>
      <c r="B4" t="s">
        <v>29</v>
      </c>
      <c r="C4">
        <v>0</v>
      </c>
      <c r="D4">
        <v>8</v>
      </c>
      <c r="E4">
        <v>10</v>
      </c>
      <c r="F4" t="s">
        <v>30</v>
      </c>
      <c r="G4">
        <v>7.92</v>
      </c>
      <c r="H4">
        <v>0.3</v>
      </c>
      <c r="I4" t="s">
        <v>31</v>
      </c>
      <c r="J4">
        <v>8</v>
      </c>
      <c r="K4">
        <v>3.5</v>
      </c>
    </row>
    <row r="5" spans="1:11" x14ac:dyDescent="0.3">
      <c r="A5">
        <v>3</v>
      </c>
      <c r="B5" t="s">
        <v>33</v>
      </c>
      <c r="C5">
        <v>0</v>
      </c>
      <c r="D5">
        <v>13</v>
      </c>
      <c r="E5">
        <v>12</v>
      </c>
      <c r="F5" t="s">
        <v>30</v>
      </c>
      <c r="G5">
        <v>7.92</v>
      </c>
      <c r="H5">
        <v>1.5</v>
      </c>
      <c r="I5" t="s">
        <v>34</v>
      </c>
      <c r="J5">
        <v>9</v>
      </c>
      <c r="K5">
        <v>2</v>
      </c>
    </row>
    <row r="6" spans="1:11" x14ac:dyDescent="0.3">
      <c r="A6">
        <v>4</v>
      </c>
      <c r="B6" t="s">
        <v>36</v>
      </c>
      <c r="C6">
        <v>0</v>
      </c>
      <c r="D6">
        <v>5</v>
      </c>
      <c r="E6">
        <v>15</v>
      </c>
      <c r="F6" t="s">
        <v>30</v>
      </c>
      <c r="G6">
        <v>7.92</v>
      </c>
      <c r="H6">
        <v>0.3</v>
      </c>
      <c r="I6" t="s">
        <v>37</v>
      </c>
      <c r="J6">
        <v>2</v>
      </c>
      <c r="K6">
        <v>1</v>
      </c>
    </row>
    <row r="7" spans="1:11" x14ac:dyDescent="0.3">
      <c r="A7">
        <v>5</v>
      </c>
      <c r="B7" t="s">
        <v>39</v>
      </c>
      <c r="C7">
        <v>0</v>
      </c>
      <c r="D7">
        <v>12</v>
      </c>
      <c r="E7">
        <v>11</v>
      </c>
      <c r="F7" t="s">
        <v>40</v>
      </c>
      <c r="G7">
        <v>21</v>
      </c>
      <c r="H7">
        <v>1.5</v>
      </c>
      <c r="I7" t="s">
        <v>41</v>
      </c>
      <c r="J7">
        <v>6</v>
      </c>
      <c r="K7">
        <v>0.5</v>
      </c>
    </row>
    <row r="8" spans="1:11" x14ac:dyDescent="0.3">
      <c r="A8">
        <v>6</v>
      </c>
      <c r="B8" t="s">
        <v>43</v>
      </c>
      <c r="C8">
        <v>0</v>
      </c>
      <c r="D8">
        <v>4</v>
      </c>
      <c r="E8">
        <v>17</v>
      </c>
      <c r="F8" t="s">
        <v>24</v>
      </c>
      <c r="G8">
        <v>3.21</v>
      </c>
      <c r="H8">
        <v>0.3</v>
      </c>
      <c r="I8" t="s">
        <v>44</v>
      </c>
      <c r="J8">
        <v>2</v>
      </c>
      <c r="K8">
        <v>0.5</v>
      </c>
    </row>
    <row r="9" spans="1:11" x14ac:dyDescent="0.3">
      <c r="A9">
        <v>7</v>
      </c>
      <c r="B9" t="s">
        <v>46</v>
      </c>
      <c r="C9">
        <v>0</v>
      </c>
      <c r="D9">
        <v>7</v>
      </c>
      <c r="E9">
        <v>10</v>
      </c>
      <c r="F9" t="s">
        <v>24</v>
      </c>
      <c r="G9">
        <v>3.21</v>
      </c>
      <c r="H9">
        <v>1</v>
      </c>
      <c r="I9" t="s">
        <v>47</v>
      </c>
      <c r="J9">
        <v>7</v>
      </c>
      <c r="K9">
        <v>3</v>
      </c>
    </row>
    <row r="10" spans="1:11" x14ac:dyDescent="0.3">
      <c r="A10">
        <v>8</v>
      </c>
      <c r="B10" t="s">
        <v>49</v>
      </c>
      <c r="C10">
        <v>0</v>
      </c>
      <c r="D10">
        <v>16</v>
      </c>
      <c r="E10">
        <v>14</v>
      </c>
      <c r="F10" t="s">
        <v>40</v>
      </c>
      <c r="G10">
        <v>21</v>
      </c>
      <c r="H10">
        <v>1.5</v>
      </c>
      <c r="I10" t="s">
        <v>50</v>
      </c>
      <c r="J10">
        <v>16</v>
      </c>
      <c r="K10">
        <v>7.5</v>
      </c>
    </row>
    <row r="11" spans="1:11" x14ac:dyDescent="0.3">
      <c r="A11">
        <v>9</v>
      </c>
      <c r="B11" t="s">
        <v>52</v>
      </c>
      <c r="C11">
        <v>0</v>
      </c>
      <c r="D11">
        <v>12</v>
      </c>
      <c r="E11">
        <v>15</v>
      </c>
      <c r="F11" t="s">
        <v>40</v>
      </c>
      <c r="G11">
        <v>21</v>
      </c>
      <c r="H11">
        <v>1</v>
      </c>
      <c r="I11" t="s">
        <v>53</v>
      </c>
      <c r="J11">
        <v>11</v>
      </c>
      <c r="K11">
        <v>4.5</v>
      </c>
    </row>
    <row r="12" spans="1:11" x14ac:dyDescent="0.3">
      <c r="A12">
        <v>10</v>
      </c>
      <c r="B12" t="s">
        <v>55</v>
      </c>
      <c r="C12">
        <v>0</v>
      </c>
      <c r="D12">
        <v>18</v>
      </c>
      <c r="E12">
        <v>16</v>
      </c>
      <c r="F12" t="s">
        <v>40</v>
      </c>
      <c r="G12">
        <v>21</v>
      </c>
      <c r="H12">
        <v>1</v>
      </c>
      <c r="I12" t="s">
        <v>56</v>
      </c>
      <c r="J12">
        <v>17</v>
      </c>
      <c r="K12">
        <v>7.5</v>
      </c>
    </row>
    <row r="13" spans="1:11" x14ac:dyDescent="0.3">
      <c r="A13">
        <v>11</v>
      </c>
      <c r="B13" t="s">
        <v>58</v>
      </c>
      <c r="C13">
        <v>0</v>
      </c>
      <c r="D13">
        <v>14</v>
      </c>
      <c r="E13">
        <v>17</v>
      </c>
      <c r="F13" t="s">
        <v>30</v>
      </c>
      <c r="G13">
        <v>7.92</v>
      </c>
      <c r="H13">
        <v>1</v>
      </c>
      <c r="I13" t="s">
        <v>59</v>
      </c>
      <c r="J13">
        <v>4</v>
      </c>
      <c r="K13">
        <v>3.5</v>
      </c>
    </row>
    <row r="14" spans="1:11" x14ac:dyDescent="0.3">
      <c r="A14">
        <v>12</v>
      </c>
      <c r="B14" t="s">
        <v>103</v>
      </c>
      <c r="C14">
        <v>0</v>
      </c>
      <c r="D14">
        <v>6</v>
      </c>
      <c r="E14">
        <v>10</v>
      </c>
      <c r="F14" t="s">
        <v>24</v>
      </c>
      <c r="G14">
        <v>3.21</v>
      </c>
      <c r="H14">
        <v>1.5</v>
      </c>
      <c r="I14" t="s">
        <v>109</v>
      </c>
      <c r="J14">
        <v>2</v>
      </c>
      <c r="K14">
        <v>1.5</v>
      </c>
    </row>
    <row r="15" spans="1:11" x14ac:dyDescent="0.3">
      <c r="A15">
        <v>13</v>
      </c>
      <c r="B15" t="s">
        <v>61</v>
      </c>
      <c r="C15">
        <v>0</v>
      </c>
      <c r="D15">
        <v>18</v>
      </c>
      <c r="E15">
        <v>17</v>
      </c>
      <c r="F15" t="s">
        <v>30</v>
      </c>
      <c r="G15">
        <v>7.92</v>
      </c>
      <c r="H15">
        <v>0.3</v>
      </c>
      <c r="I15" t="s">
        <v>62</v>
      </c>
      <c r="J15">
        <v>17</v>
      </c>
      <c r="K15">
        <v>7.5</v>
      </c>
    </row>
    <row r="16" spans="1:11" x14ac:dyDescent="0.3">
      <c r="A16">
        <v>14</v>
      </c>
      <c r="B16" t="s">
        <v>64</v>
      </c>
      <c r="C16">
        <v>0</v>
      </c>
      <c r="D16">
        <v>3</v>
      </c>
      <c r="E16">
        <v>18</v>
      </c>
      <c r="F16" t="s">
        <v>30</v>
      </c>
      <c r="G16">
        <v>7.92</v>
      </c>
      <c r="H16">
        <v>1.5</v>
      </c>
      <c r="I16" t="s">
        <v>65</v>
      </c>
      <c r="J16">
        <v>3</v>
      </c>
      <c r="K16">
        <v>1</v>
      </c>
    </row>
    <row r="17" spans="1:11" x14ac:dyDescent="0.3">
      <c r="A17">
        <v>15</v>
      </c>
      <c r="B17" t="s">
        <v>67</v>
      </c>
      <c r="C17">
        <v>0</v>
      </c>
      <c r="D17">
        <v>11</v>
      </c>
      <c r="E17">
        <v>16</v>
      </c>
      <c r="F17" t="s">
        <v>40</v>
      </c>
      <c r="G17">
        <v>21</v>
      </c>
      <c r="H17">
        <v>1</v>
      </c>
      <c r="I17" t="s">
        <v>68</v>
      </c>
      <c r="J17">
        <v>9</v>
      </c>
      <c r="K17">
        <v>3</v>
      </c>
    </row>
    <row r="18" spans="1:11" x14ac:dyDescent="0.3">
      <c r="A18">
        <v>16</v>
      </c>
      <c r="B18" t="s">
        <v>70</v>
      </c>
      <c r="C18">
        <v>0</v>
      </c>
      <c r="D18">
        <v>2</v>
      </c>
      <c r="E18">
        <v>13</v>
      </c>
      <c r="F18" t="s">
        <v>40</v>
      </c>
      <c r="G18">
        <v>21</v>
      </c>
      <c r="H18">
        <v>1.5</v>
      </c>
      <c r="I18" t="s">
        <v>71</v>
      </c>
      <c r="J18">
        <v>2</v>
      </c>
      <c r="K18">
        <v>0.5</v>
      </c>
    </row>
    <row r="19" spans="1:11" x14ac:dyDescent="0.3">
      <c r="A19">
        <v>17</v>
      </c>
      <c r="B19" t="s">
        <v>73</v>
      </c>
      <c r="C19">
        <v>0</v>
      </c>
      <c r="D19">
        <v>9</v>
      </c>
      <c r="E19">
        <v>16</v>
      </c>
      <c r="F19" t="s">
        <v>40</v>
      </c>
      <c r="G19">
        <v>21</v>
      </c>
      <c r="H19">
        <v>1</v>
      </c>
      <c r="I19" t="s">
        <v>74</v>
      </c>
      <c r="J19">
        <v>3</v>
      </c>
      <c r="K19">
        <v>2</v>
      </c>
    </row>
    <row r="20" spans="1:11" x14ac:dyDescent="0.3">
      <c r="A20">
        <v>18</v>
      </c>
      <c r="B20" t="s">
        <v>76</v>
      </c>
      <c r="C20">
        <v>0</v>
      </c>
      <c r="D20">
        <v>16</v>
      </c>
      <c r="E20">
        <v>18</v>
      </c>
      <c r="F20" t="s">
        <v>30</v>
      </c>
      <c r="G20">
        <v>7.92</v>
      </c>
      <c r="H20">
        <v>1</v>
      </c>
      <c r="I20" t="s">
        <v>77</v>
      </c>
      <c r="J20">
        <v>7</v>
      </c>
      <c r="K20">
        <v>1.5</v>
      </c>
    </row>
    <row r="21" spans="1:11" x14ac:dyDescent="0.3">
      <c r="A21">
        <v>19</v>
      </c>
      <c r="B21" t="s">
        <v>79</v>
      </c>
      <c r="C21">
        <v>0</v>
      </c>
      <c r="D21">
        <v>17</v>
      </c>
      <c r="E21">
        <v>13</v>
      </c>
      <c r="F21" t="s">
        <v>24</v>
      </c>
      <c r="G21">
        <v>3.21</v>
      </c>
      <c r="H21">
        <v>0.3</v>
      </c>
      <c r="I21" t="s">
        <v>80</v>
      </c>
      <c r="J21">
        <v>17</v>
      </c>
      <c r="K21">
        <v>8</v>
      </c>
    </row>
    <row r="22" spans="1:11" x14ac:dyDescent="0.3">
      <c r="A22">
        <v>20</v>
      </c>
      <c r="B22" t="s">
        <v>105</v>
      </c>
      <c r="C22">
        <v>0</v>
      </c>
      <c r="D22">
        <v>20</v>
      </c>
      <c r="E22">
        <v>12</v>
      </c>
      <c r="F22" t="s">
        <v>24</v>
      </c>
      <c r="G22">
        <v>3.21</v>
      </c>
      <c r="H22">
        <v>1.5</v>
      </c>
      <c r="I22" t="s">
        <v>110</v>
      </c>
      <c r="J22">
        <v>8</v>
      </c>
      <c r="K22">
        <v>2.5</v>
      </c>
    </row>
    <row r="23" spans="1:11" x14ac:dyDescent="0.3">
      <c r="A23">
        <v>21</v>
      </c>
      <c r="B23" t="s">
        <v>82</v>
      </c>
      <c r="C23">
        <v>0</v>
      </c>
      <c r="D23">
        <v>20</v>
      </c>
      <c r="E23">
        <v>14</v>
      </c>
      <c r="F23" t="s">
        <v>40</v>
      </c>
      <c r="G23">
        <v>21</v>
      </c>
      <c r="H23">
        <v>1</v>
      </c>
      <c r="I23" t="s">
        <v>83</v>
      </c>
      <c r="J23">
        <v>16</v>
      </c>
      <c r="K23">
        <v>5.5</v>
      </c>
    </row>
    <row r="24" spans="1:11" x14ac:dyDescent="0.3">
      <c r="A24">
        <v>22</v>
      </c>
      <c r="B24" t="s">
        <v>85</v>
      </c>
      <c r="C24">
        <v>0</v>
      </c>
      <c r="D24">
        <v>15</v>
      </c>
      <c r="E24">
        <v>15</v>
      </c>
      <c r="F24" t="s">
        <v>40</v>
      </c>
      <c r="G24">
        <v>21</v>
      </c>
      <c r="H24">
        <v>0.3</v>
      </c>
      <c r="I24" t="s">
        <v>86</v>
      </c>
      <c r="J24">
        <v>5</v>
      </c>
      <c r="K24">
        <v>3</v>
      </c>
    </row>
    <row r="25" spans="1:11" x14ac:dyDescent="0.3">
      <c r="A25">
        <v>23</v>
      </c>
      <c r="B25" t="s">
        <v>88</v>
      </c>
      <c r="C25">
        <v>0</v>
      </c>
      <c r="D25">
        <v>19</v>
      </c>
      <c r="E25">
        <v>18</v>
      </c>
      <c r="F25" t="s">
        <v>24</v>
      </c>
      <c r="G25">
        <v>3.21</v>
      </c>
      <c r="H25">
        <v>1</v>
      </c>
      <c r="I25" t="s">
        <v>89</v>
      </c>
      <c r="J25">
        <v>8</v>
      </c>
      <c r="K25">
        <v>2</v>
      </c>
    </row>
    <row r="26" spans="1:11" x14ac:dyDescent="0.3">
      <c r="A26">
        <v>24</v>
      </c>
      <c r="B26" t="s">
        <v>91</v>
      </c>
      <c r="C26">
        <v>0</v>
      </c>
      <c r="D26">
        <v>17</v>
      </c>
      <c r="E26">
        <v>12</v>
      </c>
      <c r="F26" t="s">
        <v>30</v>
      </c>
      <c r="G26">
        <v>7.92</v>
      </c>
      <c r="H26">
        <v>0.3</v>
      </c>
      <c r="I26" t="s">
        <v>92</v>
      </c>
      <c r="J26">
        <v>16</v>
      </c>
      <c r="K26">
        <v>7</v>
      </c>
    </row>
    <row r="27" spans="1:11" x14ac:dyDescent="0.3">
      <c r="A27">
        <v>25</v>
      </c>
      <c r="B27" t="s">
        <v>94</v>
      </c>
      <c r="C27">
        <v>0</v>
      </c>
      <c r="D27">
        <v>5</v>
      </c>
      <c r="E27">
        <v>14</v>
      </c>
      <c r="F27" t="s">
        <v>24</v>
      </c>
      <c r="G27">
        <v>3.21</v>
      </c>
      <c r="H27">
        <v>1.5</v>
      </c>
      <c r="I27" t="s">
        <v>95</v>
      </c>
      <c r="J27">
        <v>1</v>
      </c>
      <c r="K27">
        <v>2</v>
      </c>
    </row>
    <row r="28" spans="1:11" x14ac:dyDescent="0.3">
      <c r="A28">
        <v>26</v>
      </c>
      <c r="B28" t="s">
        <v>97</v>
      </c>
      <c r="C28">
        <v>1</v>
      </c>
      <c r="D28">
        <v>13</v>
      </c>
      <c r="E28">
        <v>13</v>
      </c>
      <c r="F28" t="s">
        <v>24</v>
      </c>
      <c r="G28">
        <v>3.21</v>
      </c>
      <c r="H28">
        <v>0.3</v>
      </c>
      <c r="I28" t="s">
        <v>98</v>
      </c>
      <c r="J28">
        <v>2</v>
      </c>
      <c r="K28">
        <v>5</v>
      </c>
    </row>
    <row r="29" spans="1:11" x14ac:dyDescent="0.3">
      <c r="A29">
        <v>27</v>
      </c>
      <c r="B29" t="s">
        <v>100</v>
      </c>
      <c r="C29">
        <v>1</v>
      </c>
      <c r="D29">
        <v>14</v>
      </c>
      <c r="E29">
        <v>12</v>
      </c>
      <c r="F29" t="s">
        <v>30</v>
      </c>
      <c r="G29">
        <v>7.92</v>
      </c>
      <c r="H29">
        <v>0.3</v>
      </c>
      <c r="I29" t="s">
        <v>101</v>
      </c>
      <c r="J29">
        <v>1</v>
      </c>
      <c r="K29">
        <v>6.5</v>
      </c>
    </row>
    <row r="30" spans="1:11" x14ac:dyDescent="0.3">
      <c r="A30">
        <v>28</v>
      </c>
      <c r="B30" t="s">
        <v>111</v>
      </c>
      <c r="C30">
        <v>1</v>
      </c>
      <c r="D30">
        <v>18</v>
      </c>
      <c r="E30">
        <v>10</v>
      </c>
      <c r="F30" t="s">
        <v>30</v>
      </c>
      <c r="G30">
        <v>7.92</v>
      </c>
      <c r="H30">
        <v>0.3</v>
      </c>
      <c r="I30" t="s">
        <v>112</v>
      </c>
      <c r="J30">
        <v>17</v>
      </c>
      <c r="K30">
        <v>7.5</v>
      </c>
    </row>
    <row r="31" spans="1:11" x14ac:dyDescent="0.3">
      <c r="A31">
        <v>29</v>
      </c>
      <c r="B31" t="s">
        <v>113</v>
      </c>
      <c r="C31">
        <v>1</v>
      </c>
      <c r="D31">
        <v>4</v>
      </c>
      <c r="E31">
        <v>18</v>
      </c>
      <c r="F31" t="s">
        <v>40</v>
      </c>
      <c r="G31">
        <v>21</v>
      </c>
      <c r="H31">
        <v>1</v>
      </c>
      <c r="I31" t="s">
        <v>114</v>
      </c>
      <c r="J31">
        <v>4</v>
      </c>
      <c r="K31">
        <v>1.5</v>
      </c>
    </row>
    <row r="32" spans="1:11" x14ac:dyDescent="0.3">
      <c r="A32">
        <v>30</v>
      </c>
      <c r="B32" t="s">
        <v>115</v>
      </c>
      <c r="C32">
        <v>1</v>
      </c>
      <c r="D32">
        <v>12</v>
      </c>
      <c r="E32">
        <v>11</v>
      </c>
      <c r="F32" t="s">
        <v>30</v>
      </c>
      <c r="G32">
        <v>7.92</v>
      </c>
      <c r="H32">
        <v>1.5</v>
      </c>
      <c r="I32" t="s">
        <v>116</v>
      </c>
      <c r="J32">
        <v>10</v>
      </c>
      <c r="K32">
        <v>3.5</v>
      </c>
    </row>
    <row r="33" spans="1:11" x14ac:dyDescent="0.3">
      <c r="A33">
        <v>31</v>
      </c>
      <c r="B33" t="s">
        <v>117</v>
      </c>
      <c r="C33">
        <v>1</v>
      </c>
      <c r="D33">
        <v>4</v>
      </c>
      <c r="E33">
        <v>16</v>
      </c>
      <c r="F33" t="s">
        <v>24</v>
      </c>
      <c r="G33">
        <v>3.21</v>
      </c>
      <c r="H33">
        <v>1.5</v>
      </c>
      <c r="I33" t="s">
        <v>118</v>
      </c>
      <c r="J33">
        <v>2</v>
      </c>
      <c r="K33">
        <v>0.5</v>
      </c>
    </row>
    <row r="34" spans="1:11" x14ac:dyDescent="0.3">
      <c r="A34">
        <v>32</v>
      </c>
      <c r="B34" t="s">
        <v>119</v>
      </c>
      <c r="C34">
        <v>1</v>
      </c>
      <c r="D34">
        <v>19</v>
      </c>
      <c r="E34">
        <v>17</v>
      </c>
      <c r="F34" t="s">
        <v>30</v>
      </c>
      <c r="G34">
        <v>7.92</v>
      </c>
      <c r="H34">
        <v>0.3</v>
      </c>
      <c r="I34" t="s">
        <v>120</v>
      </c>
      <c r="J34">
        <v>1</v>
      </c>
      <c r="K34">
        <v>9</v>
      </c>
    </row>
    <row r="35" spans="1:11" x14ac:dyDescent="0.3">
      <c r="A35">
        <v>33</v>
      </c>
      <c r="B35" t="s">
        <v>121</v>
      </c>
      <c r="C35">
        <v>1</v>
      </c>
      <c r="D35">
        <v>19</v>
      </c>
      <c r="E35">
        <v>12</v>
      </c>
      <c r="F35" t="s">
        <v>30</v>
      </c>
      <c r="G35">
        <v>7.92</v>
      </c>
      <c r="H35">
        <v>1.5</v>
      </c>
      <c r="I35" t="s">
        <v>122</v>
      </c>
      <c r="J35">
        <v>5</v>
      </c>
      <c r="K35">
        <v>5</v>
      </c>
    </row>
    <row r="36" spans="1:11" x14ac:dyDescent="0.3">
      <c r="A36">
        <v>34</v>
      </c>
      <c r="B36" t="s">
        <v>123</v>
      </c>
      <c r="C36">
        <v>1</v>
      </c>
      <c r="D36">
        <v>11</v>
      </c>
      <c r="E36">
        <v>17</v>
      </c>
      <c r="F36" t="s">
        <v>24</v>
      </c>
      <c r="G36">
        <v>3.21</v>
      </c>
      <c r="H36">
        <v>0.3</v>
      </c>
      <c r="I36" t="s">
        <v>124</v>
      </c>
      <c r="J36">
        <v>7</v>
      </c>
      <c r="K36">
        <v>1</v>
      </c>
    </row>
    <row r="37" spans="1:11" x14ac:dyDescent="0.3">
      <c r="A37">
        <v>35</v>
      </c>
      <c r="B37" t="s">
        <v>125</v>
      </c>
      <c r="C37">
        <v>1</v>
      </c>
      <c r="D37">
        <v>11</v>
      </c>
      <c r="E37">
        <v>13</v>
      </c>
      <c r="F37" t="s">
        <v>30</v>
      </c>
      <c r="G37">
        <v>7.92</v>
      </c>
      <c r="H37">
        <v>0.3</v>
      </c>
      <c r="I37" t="s">
        <v>126</v>
      </c>
      <c r="J37">
        <v>10</v>
      </c>
      <c r="K37">
        <v>4</v>
      </c>
    </row>
  </sheetData>
  <mergeCells count="3">
    <mergeCell ref="A1:C1"/>
    <mergeCell ref="D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Descartes</vt:lpstr>
      <vt:lpstr>Diseño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SUSAN NOELIA AVILA ARROYO</cp:lastModifiedBy>
  <dcterms:created xsi:type="dcterms:W3CDTF">2026-10-23T20:59:36Z</dcterms:created>
  <dcterms:modified xsi:type="dcterms:W3CDTF">2026-10-24T03:48:16Z</dcterms:modified>
</cp:coreProperties>
</file>